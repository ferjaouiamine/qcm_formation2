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 I5\Downloads\"/>
    </mc:Choice>
  </mc:AlternateContent>
  <bookViews>
    <workbookView xWindow="0" yWindow="0" windowWidth="23040" windowHeight="9384" tabRatio="500" activeTab="1"/>
  </bookViews>
  <sheets>
    <sheet name="Questionnaire" sheetId="1" r:id="rId1"/>
    <sheet name="Corrigé" sheetId="2" r:id="rId2"/>
    <sheet name="Notation" sheetId="3" r:id="rId3"/>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4" i="3" l="1"/>
  <c r="C24" i="3"/>
  <c r="E24" i="3" s="1"/>
  <c r="B24" i="3"/>
  <c r="D23" i="3"/>
  <c r="C23" i="3"/>
  <c r="E23" i="3" s="1"/>
  <c r="B23" i="3"/>
  <c r="D22" i="3"/>
  <c r="C22" i="3"/>
  <c r="E22" i="3" s="1"/>
  <c r="B22" i="3"/>
  <c r="D21" i="3"/>
  <c r="C21" i="3"/>
  <c r="E21" i="3" s="1"/>
  <c r="B21" i="3"/>
  <c r="D20" i="3"/>
  <c r="C20" i="3"/>
  <c r="E20" i="3" s="1"/>
  <c r="B36" i="3" s="1"/>
  <c r="B20" i="3"/>
  <c r="D19" i="3"/>
  <c r="C19" i="3"/>
  <c r="E19" i="3" s="1"/>
  <c r="B19" i="3"/>
  <c r="D18" i="3"/>
  <c r="C18" i="3"/>
  <c r="E18" i="3" s="1"/>
  <c r="B18" i="3"/>
  <c r="D17" i="3"/>
  <c r="C17" i="3"/>
  <c r="E17" i="3" s="1"/>
  <c r="B17" i="3"/>
  <c r="D16" i="3"/>
  <c r="C16" i="3"/>
  <c r="E16" i="3" s="1"/>
  <c r="B16" i="3"/>
  <c r="D15" i="3"/>
  <c r="C15" i="3"/>
  <c r="E15" i="3" s="1"/>
  <c r="B35" i="3" s="1"/>
  <c r="B15" i="3"/>
  <c r="D14" i="3"/>
  <c r="C14" i="3"/>
  <c r="E14" i="3" s="1"/>
  <c r="B14" i="3"/>
  <c r="D13" i="3"/>
  <c r="C13" i="3"/>
  <c r="E13" i="3" s="1"/>
  <c r="B13" i="3"/>
  <c r="D12" i="3"/>
  <c r="C12" i="3"/>
  <c r="E12" i="3" s="1"/>
  <c r="B12" i="3"/>
  <c r="D11" i="3"/>
  <c r="C11" i="3"/>
  <c r="E11" i="3" s="1"/>
  <c r="B11" i="3"/>
  <c r="D10" i="3"/>
  <c r="C10" i="3"/>
  <c r="E10" i="3" s="1"/>
  <c r="B34" i="3" s="1"/>
  <c r="B10" i="3"/>
  <c r="D9" i="3"/>
  <c r="C9" i="3"/>
  <c r="E9" i="3" s="1"/>
  <c r="B9" i="3"/>
  <c r="D8" i="3"/>
  <c r="C8" i="3"/>
  <c r="E8" i="3" s="1"/>
  <c r="B8" i="3"/>
  <c r="D7" i="3"/>
  <c r="C7" i="3"/>
  <c r="E7" i="3" s="1"/>
  <c r="B7" i="3"/>
  <c r="D6" i="3"/>
  <c r="C6" i="3"/>
  <c r="E6" i="3" s="1"/>
  <c r="B6" i="3"/>
  <c r="D5" i="3"/>
  <c r="C5" i="3"/>
  <c r="E5" i="3" s="1"/>
  <c r="B5" i="3"/>
  <c r="B33" i="3" l="1"/>
  <c r="E26" i="3"/>
  <c r="E27" i="3" s="1"/>
  <c r="E28" i="3" s="1"/>
  <c r="E29" i="3" s="1"/>
</calcChain>
</file>

<file path=xl/sharedStrings.xml><?xml version="1.0" encoding="utf-8"?>
<sst xmlns="http://schemas.openxmlformats.org/spreadsheetml/2006/main" count="259" uniqueCount="152">
  <si>
    <t>QCM — Formation assurance vie</t>
  </si>
  <si>
    <t>20 questions · 5 par module · une seule bonne réponse par question · 1 point par bonne réponse</t>
  </si>
  <si>
    <t>N°</t>
  </si>
  <si>
    <t>Module</t>
  </si>
  <si>
    <t>Question</t>
  </si>
  <si>
    <t>A</t>
  </si>
  <si>
    <t>B</t>
  </si>
  <si>
    <t>C</t>
  </si>
  <si>
    <t>D</t>
  </si>
  <si>
    <t>Réponse</t>
  </si>
  <si>
    <t>2 · Cadre légal et réglementaire</t>
  </si>
  <si>
    <t>Le Code des assurances tunisien a été promulgué par :</t>
  </si>
  <si>
    <t>La loi n° 92-24 du 9 mars 1992</t>
  </si>
  <si>
    <t>La loi n° 85-12 du 5 mars 1985</t>
  </si>
  <si>
    <t>Le décret n° 2003-1098</t>
  </si>
  <si>
    <t>Le règlement CGA 01/2016</t>
  </si>
  <si>
    <t>Quel est le délai maximal de renonciation au contrat d'assurance vie ?</t>
  </si>
  <si>
    <t>8 jours</t>
  </si>
  <si>
    <t>15 jours</t>
  </si>
  <si>
    <t>30 jours</t>
  </si>
  <si>
    <t>2 mois</t>
  </si>
  <si>
    <t>Si une demande de rachat intervient pendant les 5 premières années du contrat, la pénalité de rachat appliquée par l'assureur :</t>
  </si>
  <si>
    <t>Est interdite</t>
  </si>
  <si>
    <t>Ne doit pas dépasser 5 % du montant racheté</t>
  </si>
  <si>
    <t>Ne doit pas dépasser 10 % du montant racheté</t>
  </si>
  <si>
    <t>Est librement fixée par l'assureur</t>
  </si>
  <si>
    <t>Concernant l'avance sur contrat (règlement 1/2016 et son avenant), quelle affirmation est EXACTE ?</t>
  </si>
  <si>
    <t>Le taux d'intérêt ne doit pas dépasser TMM + 3 %</t>
  </si>
  <si>
    <t>L'avance peut atteindre 100 % de l'épargne constituée</t>
  </si>
  <si>
    <t>Le contrat doit avoir au moins 5 ans d'ancienneté</t>
  </si>
  <si>
    <t>La période de remboursement peut être renouvelée sans limite</t>
  </si>
  <si>
    <t>Le transfert d'un contrat doit être exécuté dans un délai maximum de :</t>
  </si>
  <si>
    <t>1 mois pour un contrat individuel, 3 mois pour l'ensemble des adhésions à un contrat collectif</t>
  </si>
  <si>
    <t>3 mois pour un contrat individuel, 1 mois pour l'ensemble des adhésions</t>
  </si>
  <si>
    <t>1 mois dans tous les cas</t>
  </si>
  <si>
    <t>3 mois dans tous les cas</t>
  </si>
  <si>
    <t>3 · Caractéristiques du contrat</t>
  </si>
  <si>
    <t>En assurance vie, les sommes assurées sont :</t>
  </si>
  <si>
    <t>Plafonnées par la valeur du préjudice subi</t>
  </si>
  <si>
    <t>Fixées librement par les parties au contrat</t>
  </si>
  <si>
    <t>Fixées par le CGA</t>
  </si>
  <si>
    <t>Limitées à 100 000 dinars</t>
  </si>
  <si>
    <t>Après paiement de la somme assurée, l'assureur-vie peut-il se retourner contre le tiers responsable du sinistre ?</t>
  </si>
  <si>
    <t>Oui, au titre de la subrogation</t>
  </si>
  <si>
    <t>Oui, mais seulement si le contrat le prévoit</t>
  </si>
  <si>
    <t>Non, aucune subrogation n'est possible</t>
  </si>
  <si>
    <t>Non, sauf en cas de faute intentionnelle du tiers</t>
  </si>
  <si>
    <t>Le principe indemnitaire de l'article 16 CAT s'applique :</t>
  </si>
  <si>
    <t>À toutes les assurances</t>
  </si>
  <si>
    <t>Aux seules assurances de personnes</t>
  </si>
  <si>
    <t>Aux seuls contrats collectifs</t>
  </si>
  <si>
    <t>Aux seules assurances de dommages</t>
  </si>
  <si>
    <t>En cas de suicide volontaire de l'assuré, l'assureur :</t>
  </si>
  <si>
    <t>Ne verse rien aux ayants droit</t>
  </si>
  <si>
    <t>Verse l'intégralité du capital assuré</t>
  </si>
  <si>
    <t>Verse une somme égale au montant de la provision mathématique</t>
  </si>
  <si>
    <t>Verse 50 % du capital assuré</t>
  </si>
  <si>
    <t>La faculté de rachat est obligatoire à la demande du contractant, SAUF pour :</t>
  </si>
  <si>
    <t>Les contrats vie entière</t>
  </si>
  <si>
    <t>Les contrats mixtes</t>
  </si>
  <si>
    <t>Les contrats de capitalisation</t>
  </si>
  <si>
    <t>Les temporaires en cas de décès</t>
  </si>
  <si>
    <t>4 · Les contrats d'assurance vie</t>
  </si>
  <si>
    <t>Dans un contrat de capital différé SANS contre-assurance, que se passe-t-il si l'assuré décède avant la date d'expiration ?</t>
  </si>
  <si>
    <t>Le capital est versé au bénéficiaire désigné</t>
  </si>
  <si>
    <t>Aucune prestation n'est versée</t>
  </si>
  <si>
    <t>Les primes sont remboursées avec intérêts</t>
  </si>
  <si>
    <t>La provision mathématique est versée</t>
  </si>
  <si>
    <t>Dans une assurance combinée 100.25, la garantie en cas de vie représente :</t>
  </si>
  <si>
    <t>25 % de la garantie décès</t>
  </si>
  <si>
    <t>100 % de la garantie décès</t>
  </si>
  <si>
    <t>50 % de la garantie décès</t>
  </si>
  <si>
    <t>25 % des primes versées</t>
  </si>
  <si>
    <t>Quelle est la différence essentielle entre la terme fixe et la mixte proprement dite ?</t>
  </si>
  <si>
    <t>La terme fixe n'accepte que des primes uniques</t>
  </si>
  <si>
    <t>La terme fixe ne garantit que le décès</t>
  </si>
  <si>
    <t>La terme fixe ne prévoit aucune garantie en cas de vie</t>
  </si>
  <si>
    <t>Le capital de la terme fixe est payé au terme du contrat, même en cas de décès antérieur</t>
  </si>
  <si>
    <t>La rente éducation est versée à l'orphelin :</t>
  </si>
  <si>
    <t>Jusqu'à l'âge de 18 ans en toutes circonstances</t>
  </si>
  <si>
    <t>Jusqu'au décès du conjoint survivant</t>
  </si>
  <si>
    <t>Pendant 10 ans après le décès de l'assuré</t>
  </si>
  <si>
    <t>Jusqu'à la fin de ses études, au plus tard jusqu'à 21 ou 25 ans</t>
  </si>
  <si>
    <t>Dans une assurance en cas de vie souscrite sur DEUX têtes, le capital en cas de vie est versé :</t>
  </si>
  <si>
    <t>Si l'un des deux assurés est en vie au terme du contrat</t>
  </si>
  <si>
    <t>Au premier décès</t>
  </si>
  <si>
    <t>Seulement si les deux assurés sont en vie au terme</t>
  </si>
  <si>
    <t>Au prorata de l'âge des deux assurés</t>
  </si>
  <si>
    <t>5 · La fiscalité de l'assurance vie</t>
  </si>
  <si>
    <t>Le plafond annuel de déduction des primes d'assurance vie du revenu imposable est de :</t>
  </si>
  <si>
    <t>10 000 dinars</t>
  </si>
  <si>
    <t>50 000 dinars</t>
  </si>
  <si>
    <t>100 000 dinars</t>
  </si>
  <si>
    <t>Aucun plafond</t>
  </si>
  <si>
    <t>Le minimum d'impôt applicable malgré la déduction des primes est égal à :</t>
  </si>
  <si>
    <t>25 % de l'impôt dû sur le revenu global compte non tenu des déductions</t>
  </si>
  <si>
    <t>45 % de l'impôt dû sur le revenu global compte non tenu des déductions</t>
  </si>
  <si>
    <t>45 % du revenu net imposable</t>
  </si>
  <si>
    <t>45 % de la prime d'assurance versée</t>
  </si>
  <si>
    <t>Pour être déductibles, les primes doivent garantir un capital en cas de vie à l'assuré ou à ses descendants pour une durée minimale de :</t>
  </si>
  <si>
    <t>4 ans</t>
  </si>
  <si>
    <t>5 ans</t>
  </si>
  <si>
    <t>8 ans</t>
  </si>
  <si>
    <t>10 ans</t>
  </si>
  <si>
    <t>En cas de rachat pendant les 8 premières années du contrat :</t>
  </si>
  <si>
    <t>Les prestations restent exonérées sans condition</t>
  </si>
  <si>
    <t>Une pénalité de 45 % est appliquée sur le capital</t>
  </si>
  <si>
    <t>Le contrat est requalifié en contrat de capitalisation</t>
  </si>
  <si>
    <t>Les réductions d'impôts doivent être restituées à l'administration fiscale</t>
  </si>
  <si>
    <t>Pour les contrats collectifs Épargne dont le terme correspond à l'âge de départ à la retraite, le minimum de prime à la charge de l'employé est de :</t>
  </si>
  <si>
    <t>1 %</t>
  </si>
  <si>
    <t>5 %</t>
  </si>
  <si>
    <t>10 %</t>
  </si>
  <si>
    <t>20 %</t>
  </si>
  <si>
    <t>Colonne « Réponse » : saisir A, B, C ou D (liste déroulante). Source : support de formation Finasure « Présentation formation — assurance vie » (166 diapositives). Modules 1 « Le marché de l'assurance vie en Tunisie » et 6 « Les produits d'assurance sur le marché » volontairement exclus de l'évaluation.</t>
  </si>
  <si>
    <t>Corrigé formateur</t>
  </si>
  <si>
    <t>Réservé au formateur — à ne pas distribuer avec le questionnaire</t>
  </si>
  <si>
    <t>Bonne réponse</t>
  </si>
  <si>
    <t>Libellé de la bonne réponse</t>
  </si>
  <si>
    <t>Justification / référence</t>
  </si>
  <si>
    <t>Loi n° 92-24 du 9 mars 1992, parue au JORT n° 17 du 17 mars 1992, page 314.</t>
  </si>
  <si>
    <t>Le souscripteur peut renoncer dans un délai fixé par le contrat, sans que celui-ci dépasse 15 jours. Toute la prime est alors remboursée.</t>
  </si>
  <si>
    <t>Pénalité plafonnée à 5 % du montant racheté. Pour les contrats en UC, aucune pénalité n'est appliquée quelle que soit l'ancienneté.</t>
  </si>
  <si>
    <t>Taux plafonné à TMM + 3 %. L'avance ne peut dépasser 80 % de l'épargne constituée, le contrat doit avoir au moins 2 ans d'ancienneté et le remboursement ne peut dépasser 36 mois non renouvelables.</t>
  </si>
  <si>
    <t>1 mois pour un contrat individuel ou une adhésion à un contrat collectif ; 3 mois pour l'ensemble des adhésions à un contrat collectif.</t>
  </si>
  <si>
    <t>Article 34 CAT : « les sommes assurées sont fixées par les parties au contrat ». C'est le principe forfaitaire — aucune valeur de référence ne vient plafonner le capital garanti.</t>
  </si>
  <si>
    <t>Article 35 CAT : dans les assurances de personnes, l'assureur ne peut être subrogé aux droits du contractant ou du bénéficiaire contre des tiers. Les bénéficiaires cumulent donc le capital ET l'indemnisation due par le responsable.</t>
  </si>
  <si>
    <t>L'article 16 plafonne l'indemnité à la valeur de la chose assurée : il suppose un préjudice mesurable, ce qui n'existe pas en assurance de personnes. C'est le principe forfaitaire qui y prévaut.</t>
  </si>
  <si>
    <t>Article 37 CAT : l'assurance en cas de décès est sans effet en cas de suicide volontaire, mais l'assureur doit verser une somme égale à la provision mathématique. Le suicide inconscient donne lieu au versement intégral.</t>
  </si>
  <si>
    <t>Article 42 CAT : les assurances temporaires en cas de décès ne donnent lieu ni à la réduction du capital ni au rachat du contrat (pure prévoyance).</t>
  </si>
  <si>
    <t>Sans contre-assurance, le décès avant l'expiration ne donne lieu à aucune prestation. Avec contre-assurance : remboursement des primes, des primes + intérêts techniques, ou règlement de la PM.</t>
  </si>
  <si>
    <t>La combinée 100.25 est une mixte à garanties inégales : la garantie vie est égale à 25 % de la garantie décès. C'est la combinaison la plus usitée.</t>
  </si>
  <si>
    <t>En terme fixe, le capital est payé au terme du contrat dans les deux cas. Les primes ne peuvent qu'être périodiques, avec cessation au décès, sinon le contrat perdrait son caractère aléatoire.</t>
  </si>
  <si>
    <t>Elle est versée jusqu'à ce que l'orphelin ait terminé ses études et au plus tard jusqu'à l'âge de 21 ans ou 25 ans.</t>
  </si>
  <si>
    <t>En assurance en cas de vie sur deux têtes, le capital est versé si l'un des deux assurés est en vie au terme ; la rente est servie tant que l'un des deux assurés est en vie.</t>
  </si>
  <si>
    <t>Plafond de déduction : 100 000 D. par an. Un minimum d'impôt de 45 % reste par ailleurs dû.</t>
  </si>
  <si>
    <t>Minimum d'impôt = 45 % de l'impôt dû sur le revenu global, compte non tenu des déductions. Exemple du support : 45 % × 28 750 = 12 937 D.</t>
  </si>
  <si>
    <t>Condition de déductibilité : durée minimale de 8 ans (ou rente viagère avec jouissance différée d'au moins 8 ans).</t>
  </si>
  <si>
    <t>Toutes les prestations sont en principe exonérées de l'IRPP ; toutefois, en cas de rachat pendant les 8 premières années, les réductions d'impôts doivent être restituées à l'administration fiscale.</t>
  </si>
  <si>
    <t>10 % pour les contrats collectifs Épargne dont le terme correspond à l'âge de départ à la retraite ; 5 % pour les autres contrats collectifs Épargne ; 1 % pour les contrats collectifs de prévoyance.</t>
  </si>
  <si>
    <t>Grille de notation</t>
  </si>
  <si>
    <t>Se remplit automatiquement à partir des onglets « Questionnaire » et « Corrigé »</t>
  </si>
  <si>
    <t>Réponse du candidat</t>
  </si>
  <si>
    <t>Point obtenu</t>
  </si>
  <si>
    <t>TOTAL / 20</t>
  </si>
  <si>
    <t>Note sur 20</t>
  </si>
  <si>
    <t>Pourcentage</t>
  </si>
  <si>
    <t>Résultat</t>
  </si>
  <si>
    <t>Score par module</t>
  </si>
  <si>
    <t>Score</t>
  </si>
  <si>
    <t>Sur</t>
  </si>
  <si>
    <t>Barème : 1 point par bonne réponse, 0 sinon (pas de point négatif). Seuils proposés : ACQUIS ≥ 70 %, À CONSOLIDER ≥ 50 %, sinon NON ACQUIS — à ajuster selon votre politique de formation. Source : support de formation Finasure « Présentation formation — assurance vie » (166 diapositives). Modules 1 « Le marché de l'assurance vie en Tunisie » et 6 « Les produits d'assurance sur le marché » volontairement exclus de l'évaluation.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</si>
</sst>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
  </numFmts>
  <fonts count="8" x14ac:knownFonts="1">
    <font>
      <sz val="11"/>
      <color theme="1"/>
      <name val="Calibri"/>
      <family val="2"/>
      <charset val="1"/>
    </font>
    <font>
      <b/>
      <sz val="15"/>
      <color rgb="FF0E4749"/>
      <name val="Arial"/>
      <charset val="1"/>
    </font>
    <font>
      <i/>
      <sz val="9"/>
      <color rgb="FF5A6B75"/>
      <name val="Arial"/>
      <charset val="1"/>
    </font>
    <font>
      <b/>
      <sz val="10"/>
      <color rgb="FFFFFFFF"/>
      <name val="Arial"/>
      <charset val="1"/>
    </font>
    <font>
      <sz val="10"/>
      <color rgb="FF1F2A30"/>
      <name val="Arial"/>
      <charset val="1"/>
    </font>
    <font>
      <b/>
      <sz val="10"/>
      <color rgb="FF1F2A30"/>
      <name val="Arial"/>
      <charset val="1"/>
    </font>
    <font>
      <b/>
      <sz val="10"/>
      <color rgb="FF0E4749"/>
      <name val="Arial"/>
      <charset val="1"/>
    </font>
    <font>
      <b/>
      <sz val="11"/>
      <color rgb="FF0E4749"/>
      <name val="Arial"/>
      <charset val="1"/>
    </font>
  </fonts>
  <fills count="7">
    <fill>
      <patternFill patternType="none"/>
    </fill>
    <fill>
      <patternFill patternType="gray125"/>
    </fill>
    <fill>
      <patternFill patternType="solid">
        <fgColor rgb="FF0E4749"/>
        <bgColor rgb="FF1F2A30"/>
      </patternFill>
    </fill>
    <fill>
      <patternFill patternType="solid">
        <fgColor rgb="FFEDF3F4"/>
        <bgColor rgb="FFFAF4E9"/>
      </patternFill>
    </fill>
    <fill>
      <patternFill patternType="solid">
        <fgColor rgb="FFFAF4E9"/>
        <bgColor rgb="FFEDF3F4"/>
      </patternFill>
    </fill>
    <fill>
      <patternFill patternType="solid">
        <fgColor rgb="FFFFFFFF"/>
        <bgColor rgb="FFFAF4E9"/>
      </patternFill>
    </fill>
    <fill>
      <patternFill patternType="solid">
        <fgColor rgb="FF1F6E7A"/>
        <bgColor rgb="FF008080"/>
      </patternFill>
    </fill>
  </fills>
  <borders count="2">
    <border>
      <left/>
      <right/>
      <top/>
      <bottom/>
      <diagonal/>
    </border>
    <border>
      <left style="thin">
        <color rgb="FFD9E0E4"/>
      </left>
      <right style="thin">
        <color rgb="FFD9E0E4"/>
      </right>
      <top style="thin">
        <color rgb="FFD9E0E4"/>
      </top>
      <bottom style="thin">
        <color rgb="FFD9E0E4"/>
      </bottom>
      <diagonal/>
    </border>
  </borders>
  <cellStyleXfs count="1">
    <xf numFmtId="0" fontId="0" fillId="0" borderId="0"/>
  </cellStyleXfs>
  <cellXfs count="24">
    <xf numFmtId="0" fontId="0" fillId="0" borderId="0" xfId="0"/>
    <xf numFmtId="0" fontId="2" fillId="0" borderId="0" xfId="0" applyFont="1" applyBorder="1" applyAlignment="1">
      <alignment vertical="top" wrapText="1"/>
    </xf>
    <xf numFmtId="0" fontId="2" fillId="0" borderId="0" xfId="0" applyFont="1" applyBorder="1" applyAlignment="1">
      <alignment horizontal="left" vertical="center"/>
    </xf>
    <xf numFmtId="0" fontId="1" fillId="0" borderId="0" xfId="0" applyFont="1" applyBorder="1" applyAlignment="1">
      <alignment horizontal="left"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6" fillId="0" borderId="0" xfId="0" applyFont="1" applyAlignment="1">
      <alignment horizontal="right"/>
    </xf>
    <xf numFmtId="0" fontId="7" fillId="4" borderId="1" xfId="0" applyFont="1" applyFill="1" applyBorder="1" applyAlignment="1">
      <alignment horizontal="center"/>
    </xf>
    <xf numFmtId="164" fontId="7" fillId="4" borderId="1" xfId="0" applyNumberFormat="1" applyFont="1" applyFill="1" applyBorder="1" applyAlignment="1">
      <alignment horizontal="center"/>
    </xf>
    <xf numFmtId="0" fontId="7" fillId="0" borderId="0" xfId="0" applyFont="1"/>
    <xf numFmtId="0" fontId="3" fillId="6" borderId="1" xfId="0" applyFont="1" applyFill="1" applyBorder="1" applyAlignment="1">
      <alignment horizontal="center"/>
    </xf>
    <xf numFmtId="0" fontId="4" fillId="0" borderId="1" xfId="0" applyFont="1" applyBorder="1" applyAlignment="1">
      <alignment horizontal="left"/>
    </xf>
    <xf numFmtId="0" fontId="4"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E7A"/>
      <rgbColor rgb="FFC0C0C0"/>
      <rgbColor rgb="FF808080"/>
      <rgbColor rgb="FF9999FF"/>
      <rgbColor rgb="FF993366"/>
      <rgbColor rgb="FFFAF4E9"/>
      <rgbColor rgb="FFEDF3F4"/>
      <rgbColor rgb="FF660066"/>
      <rgbColor rgb="FFFF8080"/>
      <rgbColor rgb="FF0066CC"/>
      <rgbColor rgb="FFD9E0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5"/>
      <rgbColor rgb="FF969696"/>
      <rgbColor rgb="FF0E4749"/>
      <rgbColor rgb="FF339966"/>
      <rgbColor rgb="FF003300"/>
      <rgbColor rgb="FF333300"/>
      <rgbColor rgb="FF993300"/>
      <rgbColor rgb="FF993366"/>
      <rgbColor rgb="FF333399"/>
      <rgbColor rgb="FF1F2A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opLeftCell="C1" zoomScaleNormal="100" workbookViewId="0">
      <pane ySplit="4" topLeftCell="A5" activePane="bottomLeft" state="frozen"/>
      <selection pane="bottomLeft" sqref="A1:H1"/>
    </sheetView>
  </sheetViews>
  <sheetFormatPr baseColWidth="10" defaultColWidth="8.6640625" defaultRowHeight="14.4" x14ac:dyDescent="0.3"/>
  <cols>
    <col min="1" max="1" width="5" customWidth="1"/>
    <col min="2" max="2" width="26" customWidth="1"/>
    <col min="3" max="3" width="52" customWidth="1"/>
    <col min="4" max="7" width="30" customWidth="1"/>
    <col min="8" max="8" width="10" customWidth="1"/>
  </cols>
  <sheetData>
    <row r="1" spans="1:8" ht="25.5" customHeight="1" x14ac:dyDescent="0.3">
      <c r="A1" s="3" t="s">
        <v>0</v>
      </c>
      <c r="B1" s="3"/>
      <c r="C1" s="3"/>
      <c r="D1" s="3"/>
      <c r="E1" s="3"/>
      <c r="F1" s="3"/>
      <c r="G1" s="3"/>
      <c r="H1" s="3"/>
    </row>
    <row r="2" spans="1:8" ht="15.75" customHeight="1" x14ac:dyDescent="0.3">
      <c r="A2" s="2" t="s">
        <v>1</v>
      </c>
      <c r="B2" s="2"/>
      <c r="C2" s="2"/>
      <c r="D2" s="2"/>
      <c r="E2" s="2"/>
      <c r="F2" s="2"/>
      <c r="G2" s="2"/>
      <c r="H2" s="2"/>
    </row>
    <row r="4" spans="1:8" ht="33.75" customHeight="1" x14ac:dyDescent="0.3">
      <c r="A4" s="4" t="s">
        <v>2</v>
      </c>
      <c r="B4" s="4" t="s">
        <v>3</v>
      </c>
      <c r="C4" s="4" t="s">
        <v>4</v>
      </c>
      <c r="D4" s="4" t="s">
        <v>5</v>
      </c>
      <c r="E4" s="4" t="s">
        <v>6</v>
      </c>
      <c r="F4" s="4" t="s">
        <v>7</v>
      </c>
      <c r="G4" s="4" t="s">
        <v>8</v>
      </c>
      <c r="H4" s="4" t="s">
        <v>9</v>
      </c>
    </row>
    <row r="5" spans="1:8" ht="45.75" customHeight="1" x14ac:dyDescent="0.3">
      <c r="A5" s="5">
        <v>1</v>
      </c>
      <c r="B5" s="6" t="s">
        <v>10</v>
      </c>
      <c r="C5" s="7" t="s">
        <v>11</v>
      </c>
      <c r="D5" s="6" t="s">
        <v>12</v>
      </c>
      <c r="E5" s="6" t="s">
        <v>13</v>
      </c>
      <c r="F5" s="6" t="s">
        <v>14</v>
      </c>
      <c r="G5" s="6" t="s">
        <v>15</v>
      </c>
      <c r="H5" s="8"/>
    </row>
    <row r="6" spans="1:8" ht="45.75" customHeight="1" x14ac:dyDescent="0.3">
      <c r="A6" s="5">
        <v>2</v>
      </c>
      <c r="B6" s="6" t="s">
        <v>10</v>
      </c>
      <c r="C6" s="7" t="s">
        <v>16</v>
      </c>
      <c r="D6" s="6" t="s">
        <v>17</v>
      </c>
      <c r="E6" s="6" t="s">
        <v>18</v>
      </c>
      <c r="F6" s="6" t="s">
        <v>19</v>
      </c>
      <c r="G6" s="6" t="s">
        <v>20</v>
      </c>
      <c r="H6" s="8"/>
    </row>
    <row r="7" spans="1:8" ht="45.75" customHeight="1" x14ac:dyDescent="0.3">
      <c r="A7" s="5">
        <v>3</v>
      </c>
      <c r="B7" s="6" t="s">
        <v>10</v>
      </c>
      <c r="C7" s="7" t="s">
        <v>21</v>
      </c>
      <c r="D7" s="6" t="s">
        <v>22</v>
      </c>
      <c r="E7" s="6" t="s">
        <v>23</v>
      </c>
      <c r="F7" s="6" t="s">
        <v>24</v>
      </c>
      <c r="G7" s="6" t="s">
        <v>25</v>
      </c>
      <c r="H7" s="8"/>
    </row>
    <row r="8" spans="1:8" ht="45.75" customHeight="1" x14ac:dyDescent="0.3">
      <c r="A8" s="5">
        <v>4</v>
      </c>
      <c r="B8" s="6" t="s">
        <v>10</v>
      </c>
      <c r="C8" s="7" t="s">
        <v>26</v>
      </c>
      <c r="D8" s="6" t="s">
        <v>27</v>
      </c>
      <c r="E8" s="6" t="s">
        <v>28</v>
      </c>
      <c r="F8" s="6" t="s">
        <v>29</v>
      </c>
      <c r="G8" s="6" t="s">
        <v>30</v>
      </c>
      <c r="H8" s="8"/>
    </row>
    <row r="9" spans="1:8" ht="45.75" customHeight="1" x14ac:dyDescent="0.3">
      <c r="A9" s="5">
        <v>5</v>
      </c>
      <c r="B9" s="6" t="s">
        <v>10</v>
      </c>
      <c r="C9" s="7" t="s">
        <v>31</v>
      </c>
      <c r="D9" s="6" t="s">
        <v>32</v>
      </c>
      <c r="E9" s="6" t="s">
        <v>33</v>
      </c>
      <c r="F9" s="6" t="s">
        <v>34</v>
      </c>
      <c r="G9" s="6" t="s">
        <v>35</v>
      </c>
      <c r="H9" s="8"/>
    </row>
    <row r="10" spans="1:8" ht="45.75" customHeight="1" x14ac:dyDescent="0.3">
      <c r="A10" s="9">
        <v>6</v>
      </c>
      <c r="B10" s="10" t="s">
        <v>36</v>
      </c>
      <c r="C10" s="11" t="s">
        <v>37</v>
      </c>
      <c r="D10" s="10" t="s">
        <v>38</v>
      </c>
      <c r="E10" s="10" t="s">
        <v>39</v>
      </c>
      <c r="F10" s="10" t="s">
        <v>40</v>
      </c>
      <c r="G10" s="10" t="s">
        <v>41</v>
      </c>
      <c r="H10" s="8"/>
    </row>
    <row r="11" spans="1:8" ht="45.75" customHeight="1" x14ac:dyDescent="0.3">
      <c r="A11" s="9">
        <v>7</v>
      </c>
      <c r="B11" s="10" t="s">
        <v>36</v>
      </c>
      <c r="C11" s="11" t="s">
        <v>42</v>
      </c>
      <c r="D11" s="10" t="s">
        <v>43</v>
      </c>
      <c r="E11" s="10" t="s">
        <v>44</v>
      </c>
      <c r="F11" s="10" t="s">
        <v>45</v>
      </c>
      <c r="G11" s="10" t="s">
        <v>46</v>
      </c>
      <c r="H11" s="8"/>
    </row>
    <row r="12" spans="1:8" ht="45.75" customHeight="1" x14ac:dyDescent="0.3">
      <c r="A12" s="9">
        <v>8</v>
      </c>
      <c r="B12" s="10" t="s">
        <v>36</v>
      </c>
      <c r="C12" s="11" t="s">
        <v>47</v>
      </c>
      <c r="D12" s="10" t="s">
        <v>48</v>
      </c>
      <c r="E12" s="10" t="s">
        <v>49</v>
      </c>
      <c r="F12" s="10" t="s">
        <v>50</v>
      </c>
      <c r="G12" s="10" t="s">
        <v>51</v>
      </c>
      <c r="H12" s="8"/>
    </row>
    <row r="13" spans="1:8" ht="45.75" customHeight="1" x14ac:dyDescent="0.3">
      <c r="A13" s="9">
        <v>9</v>
      </c>
      <c r="B13" s="10" t="s">
        <v>36</v>
      </c>
      <c r="C13" s="11" t="s">
        <v>52</v>
      </c>
      <c r="D13" s="10" t="s">
        <v>53</v>
      </c>
      <c r="E13" s="10" t="s">
        <v>54</v>
      </c>
      <c r="F13" s="10" t="s">
        <v>55</v>
      </c>
      <c r="G13" s="10" t="s">
        <v>56</v>
      </c>
      <c r="H13" s="8"/>
    </row>
    <row r="14" spans="1:8" ht="45.75" customHeight="1" x14ac:dyDescent="0.3">
      <c r="A14" s="9">
        <v>10</v>
      </c>
      <c r="B14" s="10" t="s">
        <v>36</v>
      </c>
      <c r="C14" s="11" t="s">
        <v>57</v>
      </c>
      <c r="D14" s="10" t="s">
        <v>58</v>
      </c>
      <c r="E14" s="10" t="s">
        <v>59</v>
      </c>
      <c r="F14" s="10" t="s">
        <v>60</v>
      </c>
      <c r="G14" s="10" t="s">
        <v>61</v>
      </c>
      <c r="H14" s="8"/>
    </row>
    <row r="15" spans="1:8" ht="45.75" customHeight="1" x14ac:dyDescent="0.3">
      <c r="A15" s="5">
        <v>11</v>
      </c>
      <c r="B15" s="6" t="s">
        <v>62</v>
      </c>
      <c r="C15" s="7" t="s">
        <v>63</v>
      </c>
      <c r="D15" s="6" t="s">
        <v>64</v>
      </c>
      <c r="E15" s="6" t="s">
        <v>65</v>
      </c>
      <c r="F15" s="6" t="s">
        <v>66</v>
      </c>
      <c r="G15" s="6" t="s">
        <v>67</v>
      </c>
      <c r="H15" s="8"/>
    </row>
    <row r="16" spans="1:8" ht="45.75" customHeight="1" x14ac:dyDescent="0.3">
      <c r="A16" s="5">
        <v>12</v>
      </c>
      <c r="B16" s="6" t="s">
        <v>62</v>
      </c>
      <c r="C16" s="7" t="s">
        <v>68</v>
      </c>
      <c r="D16" s="6" t="s">
        <v>69</v>
      </c>
      <c r="E16" s="6" t="s">
        <v>70</v>
      </c>
      <c r="F16" s="6" t="s">
        <v>71</v>
      </c>
      <c r="G16" s="6" t="s">
        <v>72</v>
      </c>
      <c r="H16" s="8"/>
    </row>
    <row r="17" spans="1:8" ht="45.75" customHeight="1" x14ac:dyDescent="0.3">
      <c r="A17" s="5">
        <v>13</v>
      </c>
      <c r="B17" s="6" t="s">
        <v>62</v>
      </c>
      <c r="C17" s="7" t="s">
        <v>73</v>
      </c>
      <c r="D17" s="6" t="s">
        <v>74</v>
      </c>
      <c r="E17" s="6" t="s">
        <v>75</v>
      </c>
      <c r="F17" s="6" t="s">
        <v>76</v>
      </c>
      <c r="G17" s="6" t="s">
        <v>77</v>
      </c>
      <c r="H17" s="8"/>
    </row>
    <row r="18" spans="1:8" ht="45.75" customHeight="1" x14ac:dyDescent="0.3">
      <c r="A18" s="5">
        <v>14</v>
      </c>
      <c r="B18" s="6" t="s">
        <v>62</v>
      </c>
      <c r="C18" s="7" t="s">
        <v>78</v>
      </c>
      <c r="D18" s="6" t="s">
        <v>79</v>
      </c>
      <c r="E18" s="6" t="s">
        <v>80</v>
      </c>
      <c r="F18" s="6" t="s">
        <v>81</v>
      </c>
      <c r="G18" s="6" t="s">
        <v>82</v>
      </c>
      <c r="H18" s="8"/>
    </row>
    <row r="19" spans="1:8" ht="45.75" customHeight="1" x14ac:dyDescent="0.3">
      <c r="A19" s="5">
        <v>15</v>
      </c>
      <c r="B19" s="6" t="s">
        <v>62</v>
      </c>
      <c r="C19" s="7" t="s">
        <v>83</v>
      </c>
      <c r="D19" s="6" t="s">
        <v>84</v>
      </c>
      <c r="E19" s="6" t="s">
        <v>85</v>
      </c>
      <c r="F19" s="6" t="s">
        <v>86</v>
      </c>
      <c r="G19" s="6" t="s">
        <v>87</v>
      </c>
      <c r="H19" s="8"/>
    </row>
    <row r="20" spans="1:8" ht="45.75" customHeight="1" x14ac:dyDescent="0.3">
      <c r="A20" s="9">
        <v>16</v>
      </c>
      <c r="B20" s="10" t="s">
        <v>88</v>
      </c>
      <c r="C20" s="11" t="s">
        <v>89</v>
      </c>
      <c r="D20" s="10" t="s">
        <v>90</v>
      </c>
      <c r="E20" s="10" t="s">
        <v>91</v>
      </c>
      <c r="F20" s="10" t="s">
        <v>92</v>
      </c>
      <c r="G20" s="10" t="s">
        <v>93</v>
      </c>
      <c r="H20" s="8"/>
    </row>
    <row r="21" spans="1:8" ht="45.75" customHeight="1" x14ac:dyDescent="0.3">
      <c r="A21" s="9">
        <v>17</v>
      </c>
      <c r="B21" s="10" t="s">
        <v>88</v>
      </c>
      <c r="C21" s="11" t="s">
        <v>94</v>
      </c>
      <c r="D21" s="10" t="s">
        <v>95</v>
      </c>
      <c r="E21" s="10" t="s">
        <v>96</v>
      </c>
      <c r="F21" s="10" t="s">
        <v>97</v>
      </c>
      <c r="G21" s="10" t="s">
        <v>98</v>
      </c>
      <c r="H21" s="8"/>
    </row>
    <row r="22" spans="1:8" ht="45.75" customHeight="1" x14ac:dyDescent="0.3">
      <c r="A22" s="9">
        <v>18</v>
      </c>
      <c r="B22" s="10" t="s">
        <v>88</v>
      </c>
      <c r="C22" s="11" t="s">
        <v>99</v>
      </c>
      <c r="D22" s="10" t="s">
        <v>100</v>
      </c>
      <c r="E22" s="10" t="s">
        <v>101</v>
      </c>
      <c r="F22" s="10" t="s">
        <v>102</v>
      </c>
      <c r="G22" s="10" t="s">
        <v>103</v>
      </c>
      <c r="H22" s="8"/>
    </row>
    <row r="23" spans="1:8" ht="45.75" customHeight="1" x14ac:dyDescent="0.3">
      <c r="A23" s="9">
        <v>19</v>
      </c>
      <c r="B23" s="10" t="s">
        <v>88</v>
      </c>
      <c r="C23" s="11" t="s">
        <v>104</v>
      </c>
      <c r="D23" s="10" t="s">
        <v>105</v>
      </c>
      <c r="E23" s="10" t="s">
        <v>106</v>
      </c>
      <c r="F23" s="10" t="s">
        <v>107</v>
      </c>
      <c r="G23" s="10" t="s">
        <v>108</v>
      </c>
      <c r="H23" s="8"/>
    </row>
    <row r="24" spans="1:8" ht="45.75" customHeight="1" x14ac:dyDescent="0.3">
      <c r="A24" s="9">
        <v>20</v>
      </c>
      <c r="B24" s="10" t="s">
        <v>88</v>
      </c>
      <c r="C24" s="11" t="s">
        <v>109</v>
      </c>
      <c r="D24" s="10" t="s">
        <v>110</v>
      </c>
      <c r="E24" s="10" t="s">
        <v>111</v>
      </c>
      <c r="F24" s="10" t="s">
        <v>112</v>
      </c>
      <c r="G24" s="10" t="s">
        <v>113</v>
      </c>
      <c r="H24" s="8"/>
    </row>
    <row r="26" spans="1:8" ht="15" customHeight="1" x14ac:dyDescent="0.3">
      <c r="A26" s="1" t="s">
        <v>114</v>
      </c>
      <c r="B26" s="1"/>
      <c r="C26" s="1"/>
      <c r="D26" s="1"/>
      <c r="E26" s="1"/>
      <c r="F26" s="1"/>
      <c r="G26" s="1"/>
      <c r="H26" s="1"/>
    </row>
    <row r="27" spans="1:8" x14ac:dyDescent="0.3">
      <c r="A27" s="1"/>
      <c r="B27" s="1"/>
      <c r="C27" s="1"/>
      <c r="D27" s="1"/>
      <c r="E27" s="1"/>
      <c r="F27" s="1"/>
      <c r="G27" s="1"/>
      <c r="H27" s="1"/>
    </row>
  </sheetData>
  <mergeCells count="3">
    <mergeCell ref="A1:H1"/>
    <mergeCell ref="A2:H2"/>
    <mergeCell ref="A26:H27"/>
  </mergeCells>
  <dataValidations count="1">
    <dataValidation type="list" allowBlank="1" showErrorMessage="1" errorTitle="Réponse invalide" error="Saisir A, B, C ou D." sqref="H5:H24">
      <formula1>"A,B,C,D"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abSelected="1" zoomScaleNormal="100" workbookViewId="0">
      <pane ySplit="4" topLeftCell="A11" activePane="bottomLeft" state="frozen"/>
      <selection pane="bottomLeft" sqref="A1:F1"/>
    </sheetView>
  </sheetViews>
  <sheetFormatPr baseColWidth="10" defaultColWidth="8.6640625" defaultRowHeight="14.4" x14ac:dyDescent="0.3"/>
  <cols>
    <col min="1" max="1" width="5" customWidth="1"/>
    <col min="2" max="2" width="26" customWidth="1"/>
    <col min="3" max="3" width="52" customWidth="1"/>
    <col min="4" max="4" width="13" customWidth="1"/>
    <col min="5" max="5" width="34" customWidth="1"/>
    <col min="6" max="6" width="62" customWidth="1"/>
  </cols>
  <sheetData>
    <row r="1" spans="1:6" ht="25.5" customHeight="1" x14ac:dyDescent="0.3">
      <c r="A1" s="3" t="s">
        <v>115</v>
      </c>
      <c r="B1" s="3"/>
      <c r="C1" s="3"/>
      <c r="D1" s="3"/>
      <c r="E1" s="3"/>
      <c r="F1" s="3"/>
    </row>
    <row r="2" spans="1:6" ht="15.75" customHeight="1" x14ac:dyDescent="0.3">
      <c r="A2" s="2" t="s">
        <v>116</v>
      </c>
      <c r="B2" s="2"/>
      <c r="C2" s="2"/>
      <c r="D2" s="2"/>
      <c r="E2" s="2"/>
      <c r="F2" s="2"/>
    </row>
    <row r="4" spans="1:6" ht="33.75" customHeight="1" x14ac:dyDescent="0.3">
      <c r="A4" s="4" t="s">
        <v>2</v>
      </c>
      <c r="B4" s="4" t="s">
        <v>3</v>
      </c>
      <c r="C4" s="4" t="s">
        <v>4</v>
      </c>
      <c r="D4" s="4" t="s">
        <v>117</v>
      </c>
      <c r="E4" s="4" t="s">
        <v>118</v>
      </c>
      <c r="F4" s="4" t="s">
        <v>119</v>
      </c>
    </row>
    <row r="5" spans="1:6" ht="51.75" customHeight="1" x14ac:dyDescent="0.3">
      <c r="A5" s="5">
        <v>1</v>
      </c>
      <c r="B5" s="6" t="s">
        <v>10</v>
      </c>
      <c r="C5" s="6" t="s">
        <v>11</v>
      </c>
      <c r="D5" s="12" t="s">
        <v>5</v>
      </c>
      <c r="E5" s="6" t="s">
        <v>12</v>
      </c>
      <c r="F5" s="6" t="s">
        <v>120</v>
      </c>
    </row>
    <row r="6" spans="1:6" ht="51.75" customHeight="1" x14ac:dyDescent="0.3">
      <c r="A6" s="5">
        <v>2</v>
      </c>
      <c r="B6" s="6" t="s">
        <v>10</v>
      </c>
      <c r="C6" s="6" t="s">
        <v>16</v>
      </c>
      <c r="D6" s="12" t="s">
        <v>6</v>
      </c>
      <c r="E6" s="6" t="s">
        <v>18</v>
      </c>
      <c r="F6" s="6" t="s">
        <v>121</v>
      </c>
    </row>
    <row r="7" spans="1:6" ht="51.75" customHeight="1" x14ac:dyDescent="0.3">
      <c r="A7" s="5">
        <v>3</v>
      </c>
      <c r="B7" s="6" t="s">
        <v>10</v>
      </c>
      <c r="C7" s="6" t="s">
        <v>21</v>
      </c>
      <c r="D7" s="12" t="s">
        <v>6</v>
      </c>
      <c r="E7" s="6" t="s">
        <v>23</v>
      </c>
      <c r="F7" s="6" t="s">
        <v>122</v>
      </c>
    </row>
    <row r="8" spans="1:6" ht="51.75" customHeight="1" x14ac:dyDescent="0.3">
      <c r="A8" s="5">
        <v>4</v>
      </c>
      <c r="B8" s="6" t="s">
        <v>10</v>
      </c>
      <c r="C8" s="6" t="s">
        <v>26</v>
      </c>
      <c r="D8" s="12" t="s">
        <v>5</v>
      </c>
      <c r="E8" s="6" t="s">
        <v>27</v>
      </c>
      <c r="F8" s="6" t="s">
        <v>123</v>
      </c>
    </row>
    <row r="9" spans="1:6" ht="51.75" customHeight="1" x14ac:dyDescent="0.3">
      <c r="A9" s="5">
        <v>5</v>
      </c>
      <c r="B9" s="6" t="s">
        <v>10</v>
      </c>
      <c r="C9" s="6" t="s">
        <v>31</v>
      </c>
      <c r="D9" s="12" t="s">
        <v>5</v>
      </c>
      <c r="E9" s="6" t="s">
        <v>32</v>
      </c>
      <c r="F9" s="6" t="s">
        <v>124</v>
      </c>
    </row>
    <row r="10" spans="1:6" ht="51.75" customHeight="1" x14ac:dyDescent="0.3">
      <c r="A10" s="9">
        <v>6</v>
      </c>
      <c r="B10" s="10" t="s">
        <v>36</v>
      </c>
      <c r="C10" s="10" t="s">
        <v>37</v>
      </c>
      <c r="D10" s="12" t="s">
        <v>6</v>
      </c>
      <c r="E10" s="10" t="s">
        <v>39</v>
      </c>
      <c r="F10" s="10" t="s">
        <v>125</v>
      </c>
    </row>
    <row r="11" spans="1:6" ht="51.75" customHeight="1" x14ac:dyDescent="0.3">
      <c r="A11" s="9">
        <v>7</v>
      </c>
      <c r="B11" s="10" t="s">
        <v>36</v>
      </c>
      <c r="C11" s="10" t="s">
        <v>42</v>
      </c>
      <c r="D11" s="12" t="s">
        <v>7</v>
      </c>
      <c r="E11" s="10" t="s">
        <v>45</v>
      </c>
      <c r="F11" s="10" t="s">
        <v>126</v>
      </c>
    </row>
    <row r="12" spans="1:6" ht="51.75" customHeight="1" x14ac:dyDescent="0.3">
      <c r="A12" s="9">
        <v>8</v>
      </c>
      <c r="B12" s="10" t="s">
        <v>36</v>
      </c>
      <c r="C12" s="10" t="s">
        <v>47</v>
      </c>
      <c r="D12" s="12" t="s">
        <v>8</v>
      </c>
      <c r="E12" s="10" t="s">
        <v>51</v>
      </c>
      <c r="F12" s="10" t="s">
        <v>127</v>
      </c>
    </row>
    <row r="13" spans="1:6" ht="51.75" customHeight="1" x14ac:dyDescent="0.3">
      <c r="A13" s="9">
        <v>9</v>
      </c>
      <c r="B13" s="10" t="s">
        <v>36</v>
      </c>
      <c r="C13" s="10" t="s">
        <v>52</v>
      </c>
      <c r="D13" s="12" t="s">
        <v>7</v>
      </c>
      <c r="E13" s="10" t="s">
        <v>55</v>
      </c>
      <c r="F13" s="10" t="s">
        <v>128</v>
      </c>
    </row>
    <row r="14" spans="1:6" ht="51.75" customHeight="1" x14ac:dyDescent="0.3">
      <c r="A14" s="9">
        <v>10</v>
      </c>
      <c r="B14" s="10" t="s">
        <v>36</v>
      </c>
      <c r="C14" s="10" t="s">
        <v>57</v>
      </c>
      <c r="D14" s="12" t="s">
        <v>8</v>
      </c>
      <c r="E14" s="10" t="s">
        <v>61</v>
      </c>
      <c r="F14" s="10" t="s">
        <v>129</v>
      </c>
    </row>
    <row r="15" spans="1:6" ht="51.75" customHeight="1" x14ac:dyDescent="0.3">
      <c r="A15" s="5">
        <v>11</v>
      </c>
      <c r="B15" s="6" t="s">
        <v>62</v>
      </c>
      <c r="C15" s="6" t="s">
        <v>63</v>
      </c>
      <c r="D15" s="12" t="s">
        <v>6</v>
      </c>
      <c r="E15" s="6" t="s">
        <v>65</v>
      </c>
      <c r="F15" s="6" t="s">
        <v>130</v>
      </c>
    </row>
    <row r="16" spans="1:6" ht="51.75" customHeight="1" x14ac:dyDescent="0.3">
      <c r="A16" s="5">
        <v>12</v>
      </c>
      <c r="B16" s="6" t="s">
        <v>62</v>
      </c>
      <c r="C16" s="6" t="s">
        <v>68</v>
      </c>
      <c r="D16" s="12" t="s">
        <v>5</v>
      </c>
      <c r="E16" s="6" t="s">
        <v>69</v>
      </c>
      <c r="F16" s="6" t="s">
        <v>131</v>
      </c>
    </row>
    <row r="17" spans="1:6" ht="51.75" customHeight="1" x14ac:dyDescent="0.3">
      <c r="A17" s="5">
        <v>13</v>
      </c>
      <c r="B17" s="6" t="s">
        <v>62</v>
      </c>
      <c r="C17" s="6" t="s">
        <v>73</v>
      </c>
      <c r="D17" s="12" t="s">
        <v>8</v>
      </c>
      <c r="E17" s="6" t="s">
        <v>77</v>
      </c>
      <c r="F17" s="6" t="s">
        <v>132</v>
      </c>
    </row>
    <row r="18" spans="1:6" ht="51.75" customHeight="1" x14ac:dyDescent="0.3">
      <c r="A18" s="5">
        <v>14</v>
      </c>
      <c r="B18" s="6" t="s">
        <v>62</v>
      </c>
      <c r="C18" s="6" t="s">
        <v>78</v>
      </c>
      <c r="D18" s="12" t="s">
        <v>8</v>
      </c>
      <c r="E18" s="6" t="s">
        <v>82</v>
      </c>
      <c r="F18" s="6" t="s">
        <v>133</v>
      </c>
    </row>
    <row r="19" spans="1:6" ht="51.75" customHeight="1" x14ac:dyDescent="0.3">
      <c r="A19" s="5">
        <v>15</v>
      </c>
      <c r="B19" s="6" t="s">
        <v>62</v>
      </c>
      <c r="C19" s="6" t="s">
        <v>83</v>
      </c>
      <c r="D19" s="12" t="s">
        <v>5</v>
      </c>
      <c r="E19" s="6" t="s">
        <v>84</v>
      </c>
      <c r="F19" s="6" t="s">
        <v>134</v>
      </c>
    </row>
    <row r="20" spans="1:6" ht="51.75" customHeight="1" x14ac:dyDescent="0.3">
      <c r="A20" s="9">
        <v>16</v>
      </c>
      <c r="B20" s="10" t="s">
        <v>88</v>
      </c>
      <c r="C20" s="10" t="s">
        <v>89</v>
      </c>
      <c r="D20" s="12" t="s">
        <v>7</v>
      </c>
      <c r="E20" s="10" t="s">
        <v>92</v>
      </c>
      <c r="F20" s="10" t="s">
        <v>135</v>
      </c>
    </row>
    <row r="21" spans="1:6" ht="51.75" customHeight="1" x14ac:dyDescent="0.3">
      <c r="A21" s="9">
        <v>17</v>
      </c>
      <c r="B21" s="10" t="s">
        <v>88</v>
      </c>
      <c r="C21" s="10" t="s">
        <v>94</v>
      </c>
      <c r="D21" s="12" t="s">
        <v>6</v>
      </c>
      <c r="E21" s="10" t="s">
        <v>96</v>
      </c>
      <c r="F21" s="10" t="s">
        <v>136</v>
      </c>
    </row>
    <row r="22" spans="1:6" ht="51.75" customHeight="1" x14ac:dyDescent="0.3">
      <c r="A22" s="9">
        <v>18</v>
      </c>
      <c r="B22" s="10" t="s">
        <v>88</v>
      </c>
      <c r="C22" s="10" t="s">
        <v>99</v>
      </c>
      <c r="D22" s="12" t="s">
        <v>7</v>
      </c>
      <c r="E22" s="10" t="s">
        <v>102</v>
      </c>
      <c r="F22" s="10" t="s">
        <v>137</v>
      </c>
    </row>
    <row r="23" spans="1:6" ht="51.75" customHeight="1" x14ac:dyDescent="0.3">
      <c r="A23" s="9">
        <v>19</v>
      </c>
      <c r="B23" s="10" t="s">
        <v>88</v>
      </c>
      <c r="C23" s="10" t="s">
        <v>104</v>
      </c>
      <c r="D23" s="12" t="s">
        <v>8</v>
      </c>
      <c r="E23" s="10" t="s">
        <v>108</v>
      </c>
      <c r="F23" s="10" t="s">
        <v>138</v>
      </c>
    </row>
    <row r="24" spans="1:6" ht="51.75" customHeight="1" x14ac:dyDescent="0.3">
      <c r="A24" s="9">
        <v>20</v>
      </c>
      <c r="B24" s="10" t="s">
        <v>88</v>
      </c>
      <c r="C24" s="10" t="s">
        <v>109</v>
      </c>
      <c r="D24" s="12" t="s">
        <v>7</v>
      </c>
      <c r="E24" s="10" t="s">
        <v>112</v>
      </c>
      <c r="F24" s="10" t="s">
        <v>139</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zoomScaleNormal="100" workbookViewId="0">
      <pane ySplit="4" topLeftCell="A5" activePane="bottomLeft" state="frozen"/>
      <selection pane="bottomLeft" activeCell="B4" sqref="B4"/>
    </sheetView>
  </sheetViews>
  <sheetFormatPr baseColWidth="10" defaultColWidth="8.6640625" defaultRowHeight="14.4" x14ac:dyDescent="0.3"/>
  <cols>
    <col min="1" max="1" width="30" customWidth="1"/>
    <col min="2" max="2" width="40.6640625" customWidth="1"/>
    <col min="3" max="3" width="29.88671875" customWidth="1"/>
    <col min="4" max="4" width="25.109375" customWidth="1"/>
    <col min="5" max="5" width="25.21875" customWidth="1"/>
  </cols>
  <sheetData>
    <row r="1" spans="1:5" ht="25.5" customHeight="1" x14ac:dyDescent="0.3">
      <c r="A1" s="3" t="s">
        <v>140</v>
      </c>
      <c r="B1" s="3"/>
      <c r="C1" s="3"/>
      <c r="D1" s="3"/>
      <c r="E1" s="3"/>
    </row>
    <row r="2" spans="1:5" ht="15.75" customHeight="1" x14ac:dyDescent="0.3">
      <c r="A2" s="2" t="s">
        <v>141</v>
      </c>
      <c r="B2" s="2"/>
      <c r="C2" s="2"/>
      <c r="D2" s="2"/>
      <c r="E2" s="2"/>
    </row>
    <row r="4" spans="1:5" ht="33.75" customHeight="1" x14ac:dyDescent="0.3">
      <c r="A4" s="4" t="s">
        <v>2</v>
      </c>
      <c r="B4" s="4" t="s">
        <v>3</v>
      </c>
      <c r="C4" s="4" t="s">
        <v>142</v>
      </c>
      <c r="D4" s="4" t="s">
        <v>117</v>
      </c>
      <c r="E4" s="4" t="s">
        <v>143</v>
      </c>
    </row>
    <row r="5" spans="1:5" x14ac:dyDescent="0.3">
      <c r="A5" s="13">
        <v>1</v>
      </c>
      <c r="B5" s="14" t="str">
        <f>Questionnaire!B5</f>
        <v>2 · Cadre légal et réglementaire</v>
      </c>
      <c r="C5" s="13">
        <f>Questionnaire!H5</f>
        <v>0</v>
      </c>
      <c r="D5" s="13" t="str">
        <f>Corrigé!D5</f>
        <v>A</v>
      </c>
      <c r="E5" s="13">
        <f t="shared" ref="E5:E24" si="0">IF(C5="",0,IF(UPPER(C5)=D5,1,0))</f>
        <v>0</v>
      </c>
    </row>
    <row r="6" spans="1:5" x14ac:dyDescent="0.3">
      <c r="A6" s="13">
        <v>2</v>
      </c>
      <c r="B6" s="14" t="str">
        <f>Questionnaire!B6</f>
        <v>2 · Cadre légal et réglementaire</v>
      </c>
      <c r="C6" s="13">
        <f>Questionnaire!H6</f>
        <v>0</v>
      </c>
      <c r="D6" s="13" t="str">
        <f>Corrigé!D6</f>
        <v>B</v>
      </c>
      <c r="E6" s="13">
        <f t="shared" si="0"/>
        <v>0</v>
      </c>
    </row>
    <row r="7" spans="1:5" x14ac:dyDescent="0.3">
      <c r="A7" s="13">
        <v>3</v>
      </c>
      <c r="B7" s="14" t="str">
        <f>Questionnaire!B7</f>
        <v>2 · Cadre légal et réglementaire</v>
      </c>
      <c r="C7" s="13">
        <f>Questionnaire!H7</f>
        <v>0</v>
      </c>
      <c r="D7" s="13" t="str">
        <f>Corrigé!D7</f>
        <v>B</v>
      </c>
      <c r="E7" s="13">
        <f t="shared" si="0"/>
        <v>0</v>
      </c>
    </row>
    <row r="8" spans="1:5" x14ac:dyDescent="0.3">
      <c r="A8" s="13">
        <v>4</v>
      </c>
      <c r="B8" s="14" t="str">
        <f>Questionnaire!B8</f>
        <v>2 · Cadre légal et réglementaire</v>
      </c>
      <c r="C8" s="13">
        <f>Questionnaire!H8</f>
        <v>0</v>
      </c>
      <c r="D8" s="13" t="str">
        <f>Corrigé!D8</f>
        <v>A</v>
      </c>
      <c r="E8" s="13">
        <f t="shared" si="0"/>
        <v>0</v>
      </c>
    </row>
    <row r="9" spans="1:5" x14ac:dyDescent="0.3">
      <c r="A9" s="13">
        <v>5</v>
      </c>
      <c r="B9" s="14" t="str">
        <f>Questionnaire!B9</f>
        <v>2 · Cadre légal et réglementaire</v>
      </c>
      <c r="C9" s="13">
        <f>Questionnaire!H9</f>
        <v>0</v>
      </c>
      <c r="D9" s="13" t="str">
        <f>Corrigé!D9</f>
        <v>A</v>
      </c>
      <c r="E9" s="13">
        <f t="shared" si="0"/>
        <v>0</v>
      </c>
    </row>
    <row r="10" spans="1:5" x14ac:dyDescent="0.3">
      <c r="A10" s="15">
        <v>6</v>
      </c>
      <c r="B10" s="16" t="str">
        <f>Questionnaire!B10</f>
        <v>3 · Caractéristiques du contrat</v>
      </c>
      <c r="C10" s="15">
        <f>Questionnaire!H10</f>
        <v>0</v>
      </c>
      <c r="D10" s="15" t="str">
        <f>Corrigé!D10</f>
        <v>B</v>
      </c>
      <c r="E10" s="15">
        <f t="shared" si="0"/>
        <v>0</v>
      </c>
    </row>
    <row r="11" spans="1:5" x14ac:dyDescent="0.3">
      <c r="A11" s="15">
        <v>7</v>
      </c>
      <c r="B11" s="16" t="str">
        <f>Questionnaire!B11</f>
        <v>3 · Caractéristiques du contrat</v>
      </c>
      <c r="C11" s="15">
        <f>Questionnaire!H11</f>
        <v>0</v>
      </c>
      <c r="D11" s="15" t="str">
        <f>Corrigé!D11</f>
        <v>C</v>
      </c>
      <c r="E11" s="15">
        <f t="shared" si="0"/>
        <v>0</v>
      </c>
    </row>
    <row r="12" spans="1:5" x14ac:dyDescent="0.3">
      <c r="A12" s="15">
        <v>8</v>
      </c>
      <c r="B12" s="16" t="str">
        <f>Questionnaire!B12</f>
        <v>3 · Caractéristiques du contrat</v>
      </c>
      <c r="C12" s="15">
        <f>Questionnaire!H12</f>
        <v>0</v>
      </c>
      <c r="D12" s="15" t="str">
        <f>Corrigé!D12</f>
        <v>D</v>
      </c>
      <c r="E12" s="15">
        <f t="shared" si="0"/>
        <v>0</v>
      </c>
    </row>
    <row r="13" spans="1:5" x14ac:dyDescent="0.3">
      <c r="A13" s="15">
        <v>9</v>
      </c>
      <c r="B13" s="16" t="str">
        <f>Questionnaire!B13</f>
        <v>3 · Caractéristiques du contrat</v>
      </c>
      <c r="C13" s="15">
        <f>Questionnaire!H13</f>
        <v>0</v>
      </c>
      <c r="D13" s="15" t="str">
        <f>Corrigé!D13</f>
        <v>C</v>
      </c>
      <c r="E13" s="15">
        <f t="shared" si="0"/>
        <v>0</v>
      </c>
    </row>
    <row r="14" spans="1:5" x14ac:dyDescent="0.3">
      <c r="A14" s="15">
        <v>10</v>
      </c>
      <c r="B14" s="16" t="str">
        <f>Questionnaire!B14</f>
        <v>3 · Caractéristiques du contrat</v>
      </c>
      <c r="C14" s="15">
        <f>Questionnaire!H14</f>
        <v>0</v>
      </c>
      <c r="D14" s="15" t="str">
        <f>Corrigé!D14</f>
        <v>D</v>
      </c>
      <c r="E14" s="15">
        <f t="shared" si="0"/>
        <v>0</v>
      </c>
    </row>
    <row r="15" spans="1:5" x14ac:dyDescent="0.3">
      <c r="A15" s="13">
        <v>11</v>
      </c>
      <c r="B15" s="14" t="str">
        <f>Questionnaire!B15</f>
        <v>4 · Les contrats d'assurance vie</v>
      </c>
      <c r="C15" s="13">
        <f>Questionnaire!H15</f>
        <v>0</v>
      </c>
      <c r="D15" s="13" t="str">
        <f>Corrigé!D15</f>
        <v>B</v>
      </c>
      <c r="E15" s="13">
        <f t="shared" si="0"/>
        <v>0</v>
      </c>
    </row>
    <row r="16" spans="1:5" x14ac:dyDescent="0.3">
      <c r="A16" s="13">
        <v>12</v>
      </c>
      <c r="B16" s="14" t="str">
        <f>Questionnaire!B16</f>
        <v>4 · Les contrats d'assurance vie</v>
      </c>
      <c r="C16" s="13">
        <f>Questionnaire!H16</f>
        <v>0</v>
      </c>
      <c r="D16" s="13" t="str">
        <f>Corrigé!D16</f>
        <v>A</v>
      </c>
      <c r="E16" s="13">
        <f t="shared" si="0"/>
        <v>0</v>
      </c>
    </row>
    <row r="17" spans="1:5" x14ac:dyDescent="0.3">
      <c r="A17" s="13">
        <v>13</v>
      </c>
      <c r="B17" s="14" t="str">
        <f>Questionnaire!B17</f>
        <v>4 · Les contrats d'assurance vie</v>
      </c>
      <c r="C17" s="13">
        <f>Questionnaire!H17</f>
        <v>0</v>
      </c>
      <c r="D17" s="13" t="str">
        <f>Corrigé!D17</f>
        <v>D</v>
      </c>
      <c r="E17" s="13">
        <f t="shared" si="0"/>
        <v>0</v>
      </c>
    </row>
    <row r="18" spans="1:5" x14ac:dyDescent="0.3">
      <c r="A18" s="13">
        <v>14</v>
      </c>
      <c r="B18" s="14" t="str">
        <f>Questionnaire!B18</f>
        <v>4 · Les contrats d'assurance vie</v>
      </c>
      <c r="C18" s="13">
        <f>Questionnaire!H18</f>
        <v>0</v>
      </c>
      <c r="D18" s="13" t="str">
        <f>Corrigé!D18</f>
        <v>D</v>
      </c>
      <c r="E18" s="13">
        <f t="shared" si="0"/>
        <v>0</v>
      </c>
    </row>
    <row r="19" spans="1:5" x14ac:dyDescent="0.3">
      <c r="A19" s="13">
        <v>15</v>
      </c>
      <c r="B19" s="14" t="str">
        <f>Questionnaire!B19</f>
        <v>4 · Les contrats d'assurance vie</v>
      </c>
      <c r="C19" s="13">
        <f>Questionnaire!H19</f>
        <v>0</v>
      </c>
      <c r="D19" s="13" t="str">
        <f>Corrigé!D19</f>
        <v>A</v>
      </c>
      <c r="E19" s="13">
        <f t="shared" si="0"/>
        <v>0</v>
      </c>
    </row>
    <row r="20" spans="1:5" x14ac:dyDescent="0.3">
      <c r="A20" s="15">
        <v>16</v>
      </c>
      <c r="B20" s="16" t="str">
        <f>Questionnaire!B20</f>
        <v>5 · La fiscalité de l'assurance vie</v>
      </c>
      <c r="C20" s="15">
        <f>Questionnaire!H20</f>
        <v>0</v>
      </c>
      <c r="D20" s="15" t="str">
        <f>Corrigé!D20</f>
        <v>C</v>
      </c>
      <c r="E20" s="15">
        <f t="shared" si="0"/>
        <v>0</v>
      </c>
    </row>
    <row r="21" spans="1:5" x14ac:dyDescent="0.3">
      <c r="A21" s="15">
        <v>17</v>
      </c>
      <c r="B21" s="16" t="str">
        <f>Questionnaire!B21</f>
        <v>5 · La fiscalité de l'assurance vie</v>
      </c>
      <c r="C21" s="15">
        <f>Questionnaire!H21</f>
        <v>0</v>
      </c>
      <c r="D21" s="15" t="str">
        <f>Corrigé!D21</f>
        <v>B</v>
      </c>
      <c r="E21" s="15">
        <f t="shared" si="0"/>
        <v>0</v>
      </c>
    </row>
    <row r="22" spans="1:5" x14ac:dyDescent="0.3">
      <c r="A22" s="15">
        <v>18</v>
      </c>
      <c r="B22" s="16" t="str">
        <f>Questionnaire!B22</f>
        <v>5 · La fiscalité de l'assurance vie</v>
      </c>
      <c r="C22" s="15">
        <f>Questionnaire!H22</f>
        <v>0</v>
      </c>
      <c r="D22" s="15" t="str">
        <f>Corrigé!D22</f>
        <v>C</v>
      </c>
      <c r="E22" s="15">
        <f t="shared" si="0"/>
        <v>0</v>
      </c>
    </row>
    <row r="23" spans="1:5" x14ac:dyDescent="0.3">
      <c r="A23" s="15">
        <v>19</v>
      </c>
      <c r="B23" s="16" t="str">
        <f>Questionnaire!B23</f>
        <v>5 · La fiscalité de l'assurance vie</v>
      </c>
      <c r="C23" s="15">
        <f>Questionnaire!H23</f>
        <v>0</v>
      </c>
      <c r="D23" s="15" t="str">
        <f>Corrigé!D23</f>
        <v>D</v>
      </c>
      <c r="E23" s="15">
        <f t="shared" si="0"/>
        <v>0</v>
      </c>
    </row>
    <row r="24" spans="1:5" x14ac:dyDescent="0.3">
      <c r="A24" s="15">
        <v>20</v>
      </c>
      <c r="B24" s="16" t="str">
        <f>Questionnaire!B24</f>
        <v>5 · La fiscalité de l'assurance vie</v>
      </c>
      <c r="C24" s="15">
        <f>Questionnaire!H24</f>
        <v>0</v>
      </c>
      <c r="D24" s="15" t="str">
        <f>Corrigé!D24</f>
        <v>C</v>
      </c>
      <c r="E24" s="15">
        <f t="shared" si="0"/>
        <v>0</v>
      </c>
    </row>
    <row r="26" spans="1:5" x14ac:dyDescent="0.3">
      <c r="D26" s="17" t="s">
        <v>144</v>
      </c>
      <c r="E26" s="18">
        <f>SUM(E5:E24)</f>
        <v>0</v>
      </c>
    </row>
    <row r="27" spans="1:5" x14ac:dyDescent="0.3">
      <c r="D27" s="17" t="s">
        <v>145</v>
      </c>
      <c r="E27" s="18">
        <f>E26</f>
        <v>0</v>
      </c>
    </row>
    <row r="28" spans="1:5" x14ac:dyDescent="0.3">
      <c r="D28" s="17" t="s">
        <v>146</v>
      </c>
      <c r="E28" s="19">
        <f>E27/20</f>
        <v>0</v>
      </c>
    </row>
    <row r="29" spans="1:5" x14ac:dyDescent="0.3">
      <c r="D29" s="17" t="s">
        <v>147</v>
      </c>
      <c r="E29" s="18" t="str">
        <f>IF(E28&gt;=0.7,"ACQUIS",IF(E28&gt;=0.5,"À CONSOLIDER","NON ACQUIS"))</f>
        <v>NON ACQUIS</v>
      </c>
    </row>
    <row r="31" spans="1:5" x14ac:dyDescent="0.3">
      <c r="A31" s="20" t="s">
        <v>148</v>
      </c>
    </row>
    <row r="32" spans="1:5" x14ac:dyDescent="0.3">
      <c r="A32" s="21" t="s">
        <v>3</v>
      </c>
      <c r="B32" s="21" t="s">
        <v>149</v>
      </c>
      <c r="C32" s="21" t="s">
        <v>150</v>
      </c>
    </row>
    <row r="33" spans="1:5" x14ac:dyDescent="0.3">
      <c r="A33" s="22" t="s">
        <v>10</v>
      </c>
      <c r="B33" s="23">
        <f>SUMIFS($E$5:$E$24,$B$5:$B$24,A33)</f>
        <v>0</v>
      </c>
      <c r="C33" s="23">
        <v>5</v>
      </c>
    </row>
    <row r="34" spans="1:5" x14ac:dyDescent="0.3">
      <c r="A34" s="22" t="s">
        <v>36</v>
      </c>
      <c r="B34" s="23">
        <f>SUMIFS($E$5:$E$24,$B$5:$B$24,A34)</f>
        <v>0</v>
      </c>
      <c r="C34" s="23">
        <v>5</v>
      </c>
    </row>
    <row r="35" spans="1:5" x14ac:dyDescent="0.3">
      <c r="A35" s="22" t="s">
        <v>62</v>
      </c>
      <c r="B35" s="23">
        <f>SUMIFS($E$5:$E$24,$B$5:$B$24,A35)</f>
        <v>0</v>
      </c>
      <c r="C35" s="23">
        <v>5</v>
      </c>
    </row>
    <row r="36" spans="1:5" x14ac:dyDescent="0.3">
      <c r="A36" s="22" t="s">
        <v>88</v>
      </c>
      <c r="B36" s="23">
        <f>SUMIFS($E$5:$E$24,$B$5:$B$24,A36)</f>
        <v>0</v>
      </c>
      <c r="C36" s="23">
        <v>5</v>
      </c>
    </row>
    <row r="39" spans="1:5" ht="15" customHeight="1" x14ac:dyDescent="0.3">
      <c r="A39" s="1" t="s">
        <v>151</v>
      </c>
      <c r="B39" s="1"/>
      <c r="C39" s="1"/>
      <c r="D39" s="1"/>
      <c r="E39" s="1"/>
    </row>
    <row r="40" spans="1:5" x14ac:dyDescent="0.3">
      <c r="A40" s="1"/>
      <c r="B40" s="1"/>
      <c r="C40" s="1"/>
      <c r="D40" s="1"/>
      <c r="E40" s="1"/>
    </row>
    <row r="41" spans="1:5" x14ac:dyDescent="0.3">
      <c r="A41" s="1"/>
      <c r="B41" s="1"/>
      <c r="C41" s="1"/>
      <c r="D41" s="1"/>
      <c r="E41" s="1"/>
    </row>
  </sheetData>
  <mergeCells count="3">
    <mergeCell ref="A1:E1"/>
    <mergeCell ref="A2:E2"/>
    <mergeCell ref="A39:E4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Questionnaire</vt:lpstr>
      <vt:lpstr>Corrigé</vt:lpstr>
      <vt:lpstr>Notation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 I5</cp:lastModifiedBy>
  <cp:revision>0</cp:revision>
  <dcterms:created xsi:type="dcterms:W3CDTF">2026-10-05T12:26:11Z</dcterms:created>
  <dcterms:modified xsi:type="dcterms:W3CDTF">2026-10-05T15:52:55Z</dcterms:modified>
  <dc:language>en-US</dc:language>
</cp:coreProperties>
</file>